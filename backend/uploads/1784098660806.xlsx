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zwan\Desktop\"/>
    </mc:Choice>
  </mc:AlternateContent>
  <bookViews>
    <workbookView xWindow="0" yWindow="0" windowWidth="20490" windowHeight="765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39" i="1" l="1"/>
  <c r="Z39" i="1"/>
  <c r="AA37" i="1"/>
  <c r="Z37" i="1"/>
  <c r="AA36" i="1"/>
  <c r="Z36" i="1"/>
  <c r="AA35" i="1"/>
  <c r="Z35" i="1"/>
  <c r="AA34" i="1"/>
  <c r="Z34" i="1"/>
  <c r="AA33" i="1"/>
  <c r="Z33" i="1"/>
  <c r="AA32" i="1"/>
  <c r="Z32" i="1"/>
  <c r="AA31" i="1"/>
  <c r="Z31" i="1"/>
  <c r="AA30" i="1"/>
  <c r="Z30" i="1"/>
  <c r="AA29" i="1"/>
  <c r="Z29" i="1"/>
  <c r="AA28" i="1"/>
  <c r="Z28" i="1"/>
  <c r="AA27" i="1"/>
  <c r="Z27" i="1"/>
  <c r="AA26" i="1"/>
  <c r="Z26" i="1"/>
  <c r="AA25" i="1"/>
  <c r="Z25" i="1"/>
  <c r="AA24" i="1"/>
  <c r="Z24" i="1"/>
  <c r="AA23" i="1"/>
  <c r="Z23" i="1"/>
  <c r="AA22" i="1"/>
  <c r="Z22" i="1"/>
  <c r="AA21" i="1"/>
  <c r="Z21" i="1"/>
  <c r="AA20" i="1"/>
  <c r="Z20" i="1"/>
  <c r="AA19" i="1"/>
  <c r="Z19" i="1"/>
  <c r="AA18" i="1"/>
  <c r="Z18" i="1"/>
  <c r="AA17" i="1"/>
  <c r="Z17" i="1"/>
  <c r="AA16" i="1"/>
  <c r="Z16" i="1"/>
  <c r="AA15" i="1"/>
  <c r="Z15" i="1"/>
  <c r="AA14" i="1"/>
  <c r="Z14" i="1"/>
  <c r="AA13" i="1"/>
  <c r="Z13" i="1"/>
  <c r="AA12" i="1"/>
  <c r="Z12" i="1"/>
  <c r="AA11" i="1"/>
  <c r="Z11" i="1"/>
  <c r="AA10" i="1"/>
  <c r="Z10" i="1"/>
  <c r="AA9" i="1"/>
  <c r="Z9" i="1"/>
  <c r="AA8" i="1"/>
  <c r="Z8" i="1"/>
  <c r="AA7" i="1"/>
  <c r="Z7" i="1"/>
  <c r="AA6" i="1"/>
  <c r="Z6" i="1"/>
  <c r="AA5" i="1"/>
  <c r="Z5" i="1"/>
  <c r="AA4" i="1"/>
  <c r="Z4" i="1"/>
  <c r="AA3" i="1"/>
  <c r="Z3" i="1"/>
  <c r="G23" i="1" l="1"/>
  <c r="F23" i="1"/>
</calcChain>
</file>

<file path=xl/sharedStrings.xml><?xml version="1.0" encoding="utf-8"?>
<sst xmlns="http://schemas.openxmlformats.org/spreadsheetml/2006/main" count="68" uniqueCount="35">
  <si>
    <t>CMPAK LIMITED</t>
  </si>
  <si>
    <t>Global Connect Synergy (Pvt) Ltd.</t>
  </si>
  <si>
    <t>Vision Telecom (Pvt) Ltd.</t>
  </si>
  <si>
    <t>Fiberish (Pvt) Ltd</t>
  </si>
  <si>
    <t>Red Tone Digital Services (Pvt) Ltd</t>
  </si>
  <si>
    <t>PAK TELECOM MOBILE LIMITED</t>
  </si>
  <si>
    <t>Telenor Pakistan (Pvt) Limited</t>
  </si>
  <si>
    <t>Transworld Associates (Pvt) Ltd.</t>
  </si>
  <si>
    <t>CMPAK</t>
  </si>
  <si>
    <t>Absolute Solutions (Pvt) Ltd.</t>
  </si>
  <si>
    <t>Connect Communications (Pvt) Ltd.</t>
  </si>
  <si>
    <t>LOGON Broadband (Pvt) Ltd.</t>
  </si>
  <si>
    <t>Netsol Connect (Pvt) Ltd.</t>
  </si>
  <si>
    <t>Satcomm (Pvt.) Ltd</t>
  </si>
  <si>
    <t>Supernet Limited</t>
  </si>
  <si>
    <t>Supernet infrastructure solution private limited</t>
  </si>
  <si>
    <t>Fiber Beam (Pvt) Ltd.</t>
  </si>
  <si>
    <t>Galaxy Technology (Pvt.) Ltd.</t>
  </si>
  <si>
    <t>PAKISTAN MOBILE COMMUNICA</t>
  </si>
  <si>
    <t>Gerrys Information Technology (Pvt) Ltd.</t>
  </si>
  <si>
    <t>TCS (Pvt) Ltd.</t>
  </si>
  <si>
    <t>Wateen Telecom Limited</t>
  </si>
  <si>
    <t>Ebone Network (Pvt) Ltd.</t>
  </si>
  <si>
    <t>Web Concepts (Pvt) Ltd.</t>
  </si>
  <si>
    <t>Nexlinx Networks (Pvt) Ltd.</t>
  </si>
  <si>
    <t>SKY Telecom</t>
  </si>
  <si>
    <t>Brain Telecommunication Limited</t>
  </si>
  <si>
    <t>BRIG ( R) SALAHUDDIN</t>
  </si>
  <si>
    <t>Payable</t>
  </si>
  <si>
    <t>WHT</t>
  </si>
  <si>
    <t>Nayatel (Pvt) Ltd.</t>
  </si>
  <si>
    <t>Kardesler Security Company Pvt Ltd</t>
  </si>
  <si>
    <t>Mernad Protection &amp; Security (Pvt) Ltd.</t>
  </si>
  <si>
    <t>Total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</si>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</sst>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/>
    <xf numFmtId="164" fontId="0" fillId="0" borderId="0" xfId="1" applyNumberFormat="1" applyFont="1"/>
    <xf numFmtId="164" fontId="0" fillId="0" borderId="0" xfId="1" applyNumberFormat="1" applyFont="1" applyBorder="1"/>
    <xf numFmtId="0" fontId="3" fillId="0" borderId="0" xfId="0" applyFont="1"/>
    <xf numFmtId="16" fontId="3" fillId="0" borderId="0" xfId="0" applyNumberFormat="1" applyFont="1"/>
    <xf numFmtId="16" fontId="0" fillId="0" borderId="0" xfId="0" applyNumberFormat="1"/>
    <xf numFmtId="0" fontId="0" fillId="0" borderId="0" xfId="0" applyBorder="1"/>
    <xf numFmtId="164" fontId="2" fillId="0" borderId="0" xfId="1" applyNumberFormat="1" applyFont="1" applyFill="1" applyBorder="1" applyAlignment="1">
      <alignment horizontal="center" vertical="center" wrapText="1"/>
    </xf>
    <xf numFmtId="166" fontId="2" fillId="0" borderId="0" xfId="1" applyNumberFormat="1" applyFont="1" applyFill="1" applyBorder="1" applyAlignment="1">
      <alignment horizontal="center" vertical="center" wrapText="1"/>
    </xf>
    <xf numFmtId="17" fontId="5" fillId="0" borderId="2" xfId="0" applyNumberFormat="1" applyFont="1" applyBorder="1" applyAlignment="1">
      <alignment horizontal="center"/>
    </xf>
    <xf numFmtId="17" fontId="5" fillId="0" borderId="4" xfId="0" applyNumberFormat="1" applyFont="1" applyBorder="1" applyAlignment="1">
      <alignment horizontal="center"/>
    </xf>
    <xf numFmtId="17" fontId="5" fillId="0" borderId="3" xfId="0" applyNumberFormat="1" applyFont="1" applyBorder="1" applyAlignment="1">
      <alignment horizontal="center"/>
    </xf>
    <xf numFmtId="164" fontId="0" fillId="0" borderId="5" xfId="1" applyNumberFormat="1" applyFont="1" applyBorder="1"/>
    <xf numFmtId="164" fontId="0" fillId="0" borderId="6" xfId="1" applyNumberFormat="1" applyFont="1" applyBorder="1"/>
    <xf numFmtId="164" fontId="0" fillId="0" borderId="7" xfId="1" applyNumberFormat="1" applyFont="1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164" fontId="0" fillId="0" borderId="10" xfId="1" applyNumberFormat="1" applyFont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6" fillId="3" borderId="0" xfId="0" applyFont="1" applyFill="1" applyAlignment="1">
      <alignment horizontal="center"/>
    </xf>
    <xf numFmtId="164" fontId="4" fillId="0" borderId="5" xfId="0" applyNumberFormat="1" applyFont="1" applyBorder="1"/>
    <xf numFmtId="164" fontId="6" fillId="2" borderId="2" xfId="0" applyNumberFormat="1" applyFont="1" applyFill="1" applyBorder="1"/>
    <xf numFmtId="164" fontId="6" fillId="2" borderId="3" xfId="0" applyNumberFormat="1" applyFont="1" applyFill="1" applyBorder="1"/>
    <xf numFmtId="0" fontId="4" fillId="0" borderId="13" xfId="0" applyFont="1" applyBorder="1" applyAlignment="1">
      <alignment horizontal="center"/>
    </xf>
    <xf numFmtId="164" fontId="0" fillId="0" borderId="14" xfId="1" applyNumberFormat="1" applyFont="1" applyBorder="1"/>
    <xf numFmtId="164" fontId="0" fillId="0" borderId="15" xfId="1" applyNumberFormat="1" applyFont="1" applyBorder="1"/>
    <xf numFmtId="164" fontId="0" fillId="0" borderId="16" xfId="1" applyNumberFormat="1" applyFont="1" applyBorder="1"/>
    <xf numFmtId="0" fontId="0" fillId="0" borderId="17" xfId="0" applyBorder="1"/>
    <xf numFmtId="0" fontId="6" fillId="0" borderId="18" xfId="0" applyFont="1" applyBorder="1"/>
    <xf numFmtId="0" fontId="6" fillId="0" borderId="19" xfId="0" applyFont="1" applyBorder="1"/>
    <xf numFmtId="0" fontId="0" fillId="0" borderId="1" xfId="0" applyBorder="1"/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3"/>
  <sheetViews>
    <sheetView tabSelected="1" zoomScale="75" zoomScaleNormal="75" workbookViewId="0">
      <pane xSplit="1" topLeftCell="H1" activePane="topRight" state="frozen"/>
      <selection pane="topRight" activeCell="N10" sqref="N10"/>
    </sheetView>
  </sheetViews>
  <sheetFormatPr defaultColWidth="7.5703125" defaultRowHeight="15" x14ac:dyDescent="0.25"/>
  <cols>
    <col min="1" max="1" width="57" bestFit="1" customWidth="1"/>
    <col min="2" max="2" width="11.5703125" style="1" bestFit="1" customWidth="1"/>
    <col min="3" max="3" width="8.7109375" style="1" bestFit="1" customWidth="1"/>
    <col min="4" max="4" width="11.5703125" style="1" bestFit="1" customWidth="1"/>
    <col min="5" max="5" width="8.7109375" style="1" bestFit="1" customWidth="1"/>
    <col min="6" max="6" width="11.5703125" style="1" bestFit="1" customWidth="1"/>
    <col min="7" max="7" width="8.7109375" style="1" bestFit="1" customWidth="1"/>
    <col min="8" max="8" width="11.5703125" style="1" bestFit="1" customWidth="1"/>
    <col min="9" max="9" width="8.7109375" style="1" bestFit="1" customWidth="1"/>
    <col min="10" max="10" width="11.5703125" style="1" bestFit="1" customWidth="1"/>
    <col min="11" max="11" width="8.7109375" style="1" bestFit="1" customWidth="1"/>
    <col min="12" max="12" width="11.5703125" style="1" bestFit="1" customWidth="1"/>
    <col min="13" max="13" width="8.7109375" style="1" bestFit="1" customWidth="1"/>
    <col min="14" max="14" width="11.5703125" style="1" bestFit="1" customWidth="1"/>
    <col min="15" max="15" width="8.7109375" style="1" bestFit="1" customWidth="1"/>
    <col min="16" max="16" width="11.5703125" style="1" bestFit="1" customWidth="1"/>
    <col min="17" max="17" width="8.7109375" style="1" bestFit="1" customWidth="1"/>
    <col min="18" max="18" width="11.5703125" style="1" bestFit="1" customWidth="1"/>
    <col min="19" max="19" width="8.7109375" style="1" bestFit="1" customWidth="1"/>
    <col min="20" max="20" width="11.5703125" style="1" bestFit="1" customWidth="1"/>
    <col min="21" max="21" width="8.7109375" style="1" bestFit="1" customWidth="1"/>
    <col min="22" max="22" width="11.5703125" bestFit="1" customWidth="1"/>
    <col min="23" max="23" width="8.7109375" bestFit="1" customWidth="1"/>
    <col min="26" max="26" width="16" bestFit="1" customWidth="1"/>
    <col min="27" max="27" width="14.5703125" bestFit="1" customWidth="1"/>
  </cols>
  <sheetData>
    <row r="1" spans="1:47" ht="19.5" thickBot="1" x14ac:dyDescent="0.35">
      <c r="A1" s="32"/>
      <c r="B1" s="10">
        <v>45839</v>
      </c>
      <c r="C1" s="11"/>
      <c r="D1" s="11">
        <v>45870</v>
      </c>
      <c r="E1" s="11"/>
      <c r="F1" s="11">
        <v>45901</v>
      </c>
      <c r="G1" s="11"/>
      <c r="H1" s="11">
        <v>45931</v>
      </c>
      <c r="I1" s="11"/>
      <c r="J1" s="11">
        <v>45962</v>
      </c>
      <c r="K1" s="11"/>
      <c r="L1" s="11">
        <v>45992</v>
      </c>
      <c r="M1" s="11"/>
      <c r="N1" s="11">
        <v>46023</v>
      </c>
      <c r="O1" s="11"/>
      <c r="P1" s="11">
        <v>46054</v>
      </c>
      <c r="Q1" s="11"/>
      <c r="R1" s="11">
        <v>46082</v>
      </c>
      <c r="S1" s="11"/>
      <c r="T1" s="11">
        <v>46113</v>
      </c>
      <c r="U1" s="11"/>
      <c r="V1" s="11">
        <v>46143</v>
      </c>
      <c r="W1" s="12"/>
      <c r="Z1" s="21" t="s">
        <v>33</v>
      </c>
      <c r="AA1" s="21" t="s">
        <v>34</v>
      </c>
      <c r="AR1" s="7"/>
      <c r="AS1" s="7"/>
      <c r="AT1" s="7"/>
      <c r="AU1" s="7"/>
    </row>
    <row r="2" spans="1:47" ht="19.5" thickBot="1" x14ac:dyDescent="0.35">
      <c r="A2" s="29"/>
      <c r="B2" s="25" t="s">
        <v>28</v>
      </c>
      <c r="C2" s="19" t="s">
        <v>29</v>
      </c>
      <c r="D2" s="19" t="s">
        <v>28</v>
      </c>
      <c r="E2" s="19" t="s">
        <v>29</v>
      </c>
      <c r="F2" s="19" t="s">
        <v>28</v>
      </c>
      <c r="G2" s="19" t="s">
        <v>29</v>
      </c>
      <c r="H2" s="19" t="s">
        <v>28</v>
      </c>
      <c r="I2" s="19" t="s">
        <v>29</v>
      </c>
      <c r="J2" s="19" t="s">
        <v>28</v>
      </c>
      <c r="K2" s="19" t="s">
        <v>29</v>
      </c>
      <c r="L2" s="19" t="s">
        <v>28</v>
      </c>
      <c r="M2" s="19" t="s">
        <v>29</v>
      </c>
      <c r="N2" s="19" t="s">
        <v>28</v>
      </c>
      <c r="O2" s="19" t="s">
        <v>29</v>
      </c>
      <c r="P2" s="19" t="s">
        <v>28</v>
      </c>
      <c r="Q2" s="19" t="s">
        <v>29</v>
      </c>
      <c r="R2" s="19" t="s">
        <v>28</v>
      </c>
      <c r="S2" s="19" t="s">
        <v>29</v>
      </c>
      <c r="T2" s="19" t="s">
        <v>28</v>
      </c>
      <c r="U2" s="19" t="s">
        <v>29</v>
      </c>
      <c r="V2" s="19" t="s">
        <v>28</v>
      </c>
      <c r="W2" s="20" t="s">
        <v>29</v>
      </c>
      <c r="Z2" s="21" t="s">
        <v>28</v>
      </c>
      <c r="AA2" s="21" t="s">
        <v>29</v>
      </c>
      <c r="AR2" s="7"/>
      <c r="AS2" s="7"/>
      <c r="AT2" s="7"/>
      <c r="AU2" s="7"/>
    </row>
    <row r="3" spans="1:47" ht="18.75" x14ac:dyDescent="0.3">
      <c r="A3" s="30" t="s">
        <v>9</v>
      </c>
      <c r="B3" s="26">
        <v>488160</v>
      </c>
      <c r="C3" s="17">
        <v>29289.599999999999</v>
      </c>
      <c r="D3" s="17">
        <v>459479</v>
      </c>
      <c r="E3" s="17">
        <v>27568.739999999998</v>
      </c>
      <c r="F3" s="17">
        <v>464857</v>
      </c>
      <c r="G3" s="17">
        <v>27891.42</v>
      </c>
      <c r="H3" s="17">
        <v>475015</v>
      </c>
      <c r="I3" s="17">
        <v>28500.899999999998</v>
      </c>
      <c r="J3" s="17">
        <v>459441</v>
      </c>
      <c r="K3" s="17">
        <v>27566.46</v>
      </c>
      <c r="L3" s="17">
        <v>452510</v>
      </c>
      <c r="M3" s="17">
        <v>27150.6</v>
      </c>
      <c r="N3" s="17">
        <v>467845</v>
      </c>
      <c r="O3" s="17">
        <v>28070.7</v>
      </c>
      <c r="P3" s="17">
        <v>445738</v>
      </c>
      <c r="Q3" s="17">
        <v>26744.28</v>
      </c>
      <c r="R3" s="17">
        <v>447332</v>
      </c>
      <c r="S3" s="17">
        <v>26839.919999999998</v>
      </c>
      <c r="T3" s="17">
        <v>418253</v>
      </c>
      <c r="U3" s="17">
        <v>25095.18</v>
      </c>
      <c r="V3" s="17">
        <v>415266</v>
      </c>
      <c r="W3" s="18">
        <v>24915.96</v>
      </c>
      <c r="Z3" s="22">
        <f>+B3+D3+F3+H3+J3+L3+N3+P3+R3+T3+V3</f>
        <v>4993896</v>
      </c>
      <c r="AA3" s="22">
        <f>+C3+E3+G3+I3+K3+M3+O3+Q3+S3+U3+W3</f>
        <v>299633.76</v>
      </c>
      <c r="AR3" s="7"/>
      <c r="AS3" s="7"/>
      <c r="AT3" s="7"/>
      <c r="AU3" s="7"/>
    </row>
    <row r="4" spans="1:47" ht="18.75" x14ac:dyDescent="0.3">
      <c r="A4" s="30" t="s">
        <v>10</v>
      </c>
      <c r="B4" s="27">
        <v>292777</v>
      </c>
      <c r="C4" s="13">
        <v>17566.62</v>
      </c>
      <c r="D4" s="13">
        <v>292777.39</v>
      </c>
      <c r="E4" s="13">
        <v>17566.643400000001</v>
      </c>
      <c r="F4" s="13">
        <v>292777</v>
      </c>
      <c r="G4" s="13">
        <v>17566.62</v>
      </c>
      <c r="H4" s="13">
        <v>292777</v>
      </c>
      <c r="I4" s="13">
        <v>17566.62</v>
      </c>
      <c r="J4" s="13">
        <v>291582</v>
      </c>
      <c r="K4" s="13">
        <v>17494.919999999998</v>
      </c>
      <c r="L4" s="13">
        <v>287997</v>
      </c>
      <c r="M4" s="13">
        <v>17279.82</v>
      </c>
      <c r="N4" s="13">
        <v>299469</v>
      </c>
      <c r="O4" s="13">
        <v>17968.14</v>
      </c>
      <c r="P4" s="13">
        <v>273179</v>
      </c>
      <c r="Q4" s="13">
        <v>16390.739999999998</v>
      </c>
      <c r="R4" s="13">
        <v>230637</v>
      </c>
      <c r="S4" s="13">
        <v>13838.22</v>
      </c>
      <c r="T4" s="13">
        <v>285846</v>
      </c>
      <c r="U4" s="13">
        <v>17150.759999999998</v>
      </c>
      <c r="V4" s="13">
        <v>252840</v>
      </c>
      <c r="W4" s="14">
        <v>15170.4</v>
      </c>
      <c r="Z4" s="22">
        <f t="shared" ref="Z4:Z37" si="0">+B4+D4+F4+H4+J4+L4+N4+P4+R4+T4+V4</f>
        <v>3092658.39</v>
      </c>
      <c r="AA4" s="22">
        <f t="shared" ref="AA4:AA37" si="1">+C4+E4+G4+I4+K4+M4+O4+Q4+S4+U4+W4</f>
        <v>185559.50339999999</v>
      </c>
      <c r="AR4" s="7"/>
      <c r="AS4" s="7"/>
      <c r="AT4" s="7"/>
      <c r="AU4" s="7"/>
    </row>
    <row r="5" spans="1:47" ht="18.75" x14ac:dyDescent="0.3">
      <c r="A5" s="30" t="s">
        <v>1</v>
      </c>
      <c r="B5" s="27">
        <v>1058713</v>
      </c>
      <c r="C5" s="13">
        <v>63522.78</v>
      </c>
      <c r="D5" s="13">
        <v>1079943</v>
      </c>
      <c r="E5" s="13">
        <v>64796.579999999994</v>
      </c>
      <c r="F5" s="13">
        <v>1193266</v>
      </c>
      <c r="G5" s="13">
        <v>71595.959999999992</v>
      </c>
      <c r="H5" s="13">
        <v>1346576</v>
      </c>
      <c r="I5" s="13">
        <v>80794.559999999998</v>
      </c>
      <c r="J5" s="13">
        <v>1536768</v>
      </c>
      <c r="K5" s="13">
        <v>92206.080000000002</v>
      </c>
      <c r="L5" s="13">
        <v>1495719</v>
      </c>
      <c r="M5" s="13">
        <v>89743.14</v>
      </c>
      <c r="N5" s="13">
        <v>1353442</v>
      </c>
      <c r="O5" s="13">
        <v>81206.52</v>
      </c>
      <c r="P5" s="13">
        <v>1437790</v>
      </c>
      <c r="Q5" s="13">
        <v>86267.4</v>
      </c>
      <c r="R5" s="13">
        <v>1478642</v>
      </c>
      <c r="S5" s="13">
        <v>88718.51999999999</v>
      </c>
      <c r="T5" s="13">
        <v>1472183</v>
      </c>
      <c r="U5" s="13">
        <v>88330.98</v>
      </c>
      <c r="V5" s="13">
        <v>1519983</v>
      </c>
      <c r="W5" s="14">
        <v>91198.98</v>
      </c>
      <c r="Z5" s="22">
        <f t="shared" si="0"/>
        <v>14973025</v>
      </c>
      <c r="AA5" s="22">
        <f t="shared" si="1"/>
        <v>898381.5</v>
      </c>
      <c r="AR5" s="7"/>
      <c r="AS5" s="7"/>
      <c r="AT5" s="7"/>
      <c r="AU5" s="7"/>
    </row>
    <row r="6" spans="1:47" ht="18.75" x14ac:dyDescent="0.3">
      <c r="A6" s="30" t="s">
        <v>11</v>
      </c>
      <c r="B6" s="27">
        <v>577273</v>
      </c>
      <c r="C6" s="13">
        <v>34636.379999999997</v>
      </c>
      <c r="D6" s="13">
        <v>528202</v>
      </c>
      <c r="E6" s="13">
        <v>31692.12</v>
      </c>
      <c r="F6" s="13">
        <v>538772</v>
      </c>
      <c r="G6" s="13">
        <v>32326.32</v>
      </c>
      <c r="H6" s="13">
        <v>529891</v>
      </c>
      <c r="I6" s="13">
        <v>31793.46</v>
      </c>
      <c r="J6" s="13">
        <v>580968</v>
      </c>
      <c r="K6" s="13">
        <v>34858.080000000002</v>
      </c>
      <c r="L6" s="13">
        <v>536137</v>
      </c>
      <c r="M6" s="13">
        <v>32168.219999999998</v>
      </c>
      <c r="N6" s="13">
        <v>551493</v>
      </c>
      <c r="O6" s="13">
        <v>33089.58</v>
      </c>
      <c r="P6" s="13">
        <v>623476</v>
      </c>
      <c r="Q6" s="13">
        <v>37408.559999999998</v>
      </c>
      <c r="R6" s="13">
        <v>622999</v>
      </c>
      <c r="S6" s="13">
        <v>37379.939999999995</v>
      </c>
      <c r="T6" s="13">
        <v>620803</v>
      </c>
      <c r="U6" s="13">
        <v>37248.18</v>
      </c>
      <c r="V6" s="13">
        <v>592443</v>
      </c>
      <c r="W6" s="14">
        <v>35546.58</v>
      </c>
      <c r="Z6" s="22">
        <f t="shared" si="0"/>
        <v>6302457</v>
      </c>
      <c r="AA6" s="22">
        <f t="shared" si="1"/>
        <v>378147.42</v>
      </c>
      <c r="AR6" s="7"/>
      <c r="AS6" s="7"/>
      <c r="AT6" s="7"/>
      <c r="AU6" s="7"/>
    </row>
    <row r="7" spans="1:47" ht="18.75" x14ac:dyDescent="0.3">
      <c r="A7" s="30" t="s">
        <v>12</v>
      </c>
      <c r="B7" s="27">
        <v>460917</v>
      </c>
      <c r="C7" s="13">
        <v>27655.02</v>
      </c>
      <c r="D7" s="13">
        <v>452667</v>
      </c>
      <c r="E7" s="13">
        <v>27160.02</v>
      </c>
      <c r="F7" s="13">
        <v>404867</v>
      </c>
      <c r="G7" s="13">
        <v>24292.02</v>
      </c>
      <c r="H7" s="13">
        <v>496085</v>
      </c>
      <c r="I7" s="13">
        <v>29765.1</v>
      </c>
      <c r="J7" s="13">
        <v>459837</v>
      </c>
      <c r="K7" s="13">
        <v>27590.219999999998</v>
      </c>
      <c r="L7" s="13">
        <v>487322</v>
      </c>
      <c r="M7" s="13">
        <v>29239.32</v>
      </c>
      <c r="N7" s="13">
        <v>494778</v>
      </c>
      <c r="O7" s="13">
        <v>29686.68</v>
      </c>
      <c r="P7" s="13">
        <v>495089</v>
      </c>
      <c r="Q7" s="13">
        <v>29705.34</v>
      </c>
      <c r="R7" s="13">
        <v>495089</v>
      </c>
      <c r="S7" s="13">
        <v>29705.34</v>
      </c>
      <c r="T7" s="13">
        <v>495089</v>
      </c>
      <c r="U7" s="13">
        <v>29705.34</v>
      </c>
      <c r="V7" s="13">
        <v>471269</v>
      </c>
      <c r="W7" s="14">
        <v>28276.14</v>
      </c>
      <c r="Z7" s="22">
        <f t="shared" si="0"/>
        <v>5213009</v>
      </c>
      <c r="AA7" s="22">
        <f t="shared" si="1"/>
        <v>312780.54000000004</v>
      </c>
      <c r="AR7" s="7"/>
      <c r="AS7" s="7"/>
      <c r="AT7" s="7"/>
      <c r="AU7" s="7"/>
    </row>
    <row r="8" spans="1:47" ht="18.75" x14ac:dyDescent="0.3">
      <c r="A8" s="30" t="s">
        <v>13</v>
      </c>
      <c r="B8" s="27">
        <v>43020</v>
      </c>
      <c r="C8" s="13">
        <v>2581.1999999999998</v>
      </c>
      <c r="D8" s="13">
        <v>90820</v>
      </c>
      <c r="E8" s="13">
        <v>5449.2</v>
      </c>
      <c r="F8" s="13">
        <v>72895</v>
      </c>
      <c r="G8" s="13">
        <v>4373.7</v>
      </c>
      <c r="H8" s="13">
        <v>166105</v>
      </c>
      <c r="I8" s="13">
        <v>9966.2999999999993</v>
      </c>
      <c r="J8" s="13">
        <v>123085</v>
      </c>
      <c r="K8" s="13">
        <v>7385.0999999999995</v>
      </c>
      <c r="L8" s="13">
        <v>123085</v>
      </c>
      <c r="M8" s="13">
        <v>7385.0999999999995</v>
      </c>
      <c r="N8" s="13">
        <v>123085</v>
      </c>
      <c r="O8" s="13">
        <v>7385.0999999999995</v>
      </c>
      <c r="P8" s="13">
        <v>160728</v>
      </c>
      <c r="Q8" s="13">
        <v>9643.68</v>
      </c>
      <c r="R8" s="13">
        <v>189408</v>
      </c>
      <c r="S8" s="13">
        <v>11364.48</v>
      </c>
      <c r="T8" s="13">
        <v>241988</v>
      </c>
      <c r="U8" s="13">
        <v>14519.279999999999</v>
      </c>
      <c r="V8" s="13">
        <v>249158</v>
      </c>
      <c r="W8" s="14">
        <v>14949.48</v>
      </c>
      <c r="Z8" s="22">
        <f t="shared" si="0"/>
        <v>1583377</v>
      </c>
      <c r="AA8" s="22">
        <f t="shared" si="1"/>
        <v>95002.62</v>
      </c>
      <c r="AR8" s="7"/>
      <c r="AS8" s="7"/>
      <c r="AT8" s="7"/>
      <c r="AU8" s="7"/>
    </row>
    <row r="9" spans="1:47" ht="18.75" x14ac:dyDescent="0.3">
      <c r="A9" s="30" t="s">
        <v>14</v>
      </c>
      <c r="B9" s="27">
        <v>29200</v>
      </c>
      <c r="C9" s="13">
        <v>1752</v>
      </c>
      <c r="D9" s="13"/>
      <c r="E9" s="13"/>
      <c r="F9" s="13">
        <v>53100</v>
      </c>
      <c r="G9" s="13">
        <v>3186</v>
      </c>
      <c r="H9" s="13">
        <v>41150</v>
      </c>
      <c r="I9" s="13">
        <v>2469</v>
      </c>
      <c r="J9" s="13">
        <v>41150</v>
      </c>
      <c r="K9" s="13">
        <v>2469</v>
      </c>
      <c r="L9" s="13">
        <v>41150</v>
      </c>
      <c r="M9" s="13">
        <v>2469</v>
      </c>
      <c r="N9" s="13">
        <v>41150</v>
      </c>
      <c r="O9" s="13">
        <v>2469</v>
      </c>
      <c r="P9" s="13">
        <v>41150</v>
      </c>
      <c r="Q9" s="13">
        <v>2469</v>
      </c>
      <c r="R9" s="13">
        <v>41150</v>
      </c>
      <c r="S9" s="13">
        <v>2469</v>
      </c>
      <c r="T9" s="13">
        <v>41150</v>
      </c>
      <c r="U9" s="13">
        <v>2469</v>
      </c>
      <c r="V9" s="13">
        <v>41150</v>
      </c>
      <c r="W9" s="14">
        <v>2469</v>
      </c>
      <c r="Z9" s="22">
        <f t="shared" si="0"/>
        <v>411500</v>
      </c>
      <c r="AA9" s="22">
        <f t="shared" si="1"/>
        <v>24690</v>
      </c>
      <c r="AR9" s="8"/>
      <c r="AS9" s="9"/>
      <c r="AT9" s="7"/>
      <c r="AU9" s="7"/>
    </row>
    <row r="10" spans="1:47" ht="18.75" x14ac:dyDescent="0.3">
      <c r="A10" s="30" t="s">
        <v>15</v>
      </c>
      <c r="B10" s="27">
        <v>691725</v>
      </c>
      <c r="C10" s="13">
        <v>41503.5</v>
      </c>
      <c r="D10" s="13"/>
      <c r="E10" s="13"/>
      <c r="F10" s="13">
        <v>691725</v>
      </c>
      <c r="G10" s="13">
        <v>41503.5</v>
      </c>
      <c r="H10" s="13">
        <v>691725</v>
      </c>
      <c r="I10" s="13">
        <v>41503.5</v>
      </c>
      <c r="J10" s="13">
        <v>691725</v>
      </c>
      <c r="K10" s="13">
        <v>41503.5</v>
      </c>
      <c r="L10" s="13">
        <v>691725</v>
      </c>
      <c r="M10" s="13">
        <v>41503.5</v>
      </c>
      <c r="N10" s="13">
        <v>691725</v>
      </c>
      <c r="O10" s="13">
        <v>41503.5</v>
      </c>
      <c r="P10" s="13">
        <v>691725</v>
      </c>
      <c r="Q10" s="13">
        <v>41503.5</v>
      </c>
      <c r="R10" s="13">
        <v>691725</v>
      </c>
      <c r="S10" s="13">
        <v>41503.5</v>
      </c>
      <c r="T10" s="13">
        <v>680225</v>
      </c>
      <c r="U10" s="13">
        <v>40813.5</v>
      </c>
      <c r="V10" s="13">
        <v>691725</v>
      </c>
      <c r="W10" s="14">
        <v>41503.5</v>
      </c>
      <c r="Z10" s="22">
        <f t="shared" si="0"/>
        <v>6905750</v>
      </c>
      <c r="AA10" s="22">
        <f t="shared" si="1"/>
        <v>414345</v>
      </c>
      <c r="AR10" s="3"/>
      <c r="AS10" s="3"/>
      <c r="AT10" s="7"/>
      <c r="AU10" s="7"/>
    </row>
    <row r="11" spans="1:47" ht="18.75" x14ac:dyDescent="0.3">
      <c r="A11" s="30" t="s">
        <v>16</v>
      </c>
      <c r="B11" s="27">
        <v>54919</v>
      </c>
      <c r="C11" s="13">
        <v>3295.14</v>
      </c>
      <c r="D11" s="13">
        <v>50190</v>
      </c>
      <c r="E11" s="13">
        <v>3011.4</v>
      </c>
      <c r="F11" s="13">
        <v>35850</v>
      </c>
      <c r="G11" s="13">
        <v>2151</v>
      </c>
      <c r="H11" s="13">
        <v>28680</v>
      </c>
      <c r="I11" s="13">
        <v>1720.8</v>
      </c>
      <c r="J11" s="13">
        <v>28680</v>
      </c>
      <c r="K11" s="13">
        <v>1720.8</v>
      </c>
      <c r="L11" s="13">
        <v>28680</v>
      </c>
      <c r="M11" s="13">
        <v>1720.8</v>
      </c>
      <c r="N11" s="13">
        <v>28680</v>
      </c>
      <c r="O11" s="13">
        <v>1720.8</v>
      </c>
      <c r="P11" s="13">
        <v>28680</v>
      </c>
      <c r="Q11" s="13">
        <v>1720.8</v>
      </c>
      <c r="R11" s="13">
        <v>903341</v>
      </c>
      <c r="S11" s="13">
        <v>54200.46</v>
      </c>
      <c r="T11" s="13">
        <v>28680</v>
      </c>
      <c r="U11" s="13">
        <v>1720.8</v>
      </c>
      <c r="V11" s="13">
        <v>28680</v>
      </c>
      <c r="W11" s="14">
        <v>1720.8</v>
      </c>
      <c r="Z11" s="22">
        <f t="shared" si="0"/>
        <v>1245060</v>
      </c>
      <c r="AA11" s="22">
        <f t="shared" si="1"/>
        <v>74703.600000000006</v>
      </c>
      <c r="AR11" s="3"/>
      <c r="AS11" s="3"/>
      <c r="AT11" s="7"/>
      <c r="AU11" s="7"/>
    </row>
    <row r="12" spans="1:47" ht="18.75" x14ac:dyDescent="0.3">
      <c r="A12" s="30" t="s">
        <v>17</v>
      </c>
      <c r="B12" s="27">
        <v>96795</v>
      </c>
      <c r="C12" s="13">
        <v>5807.7</v>
      </c>
      <c r="D12" s="13">
        <v>153119</v>
      </c>
      <c r="E12" s="13">
        <v>9187.14</v>
      </c>
      <c r="F12" s="13">
        <v>142205</v>
      </c>
      <c r="G12" s="13">
        <v>8532.2999999999993</v>
      </c>
      <c r="H12" s="13">
        <v>120695</v>
      </c>
      <c r="I12" s="13">
        <v>7241.7</v>
      </c>
      <c r="J12" s="13">
        <v>138620</v>
      </c>
      <c r="K12" s="13">
        <v>8317.1999999999989</v>
      </c>
      <c r="L12" s="13">
        <v>133840</v>
      </c>
      <c r="M12" s="13">
        <v>8030.4</v>
      </c>
      <c r="N12" s="13">
        <v>120695</v>
      </c>
      <c r="O12" s="13">
        <v>7241.7</v>
      </c>
      <c r="P12" s="13">
        <v>120695</v>
      </c>
      <c r="Q12" s="13">
        <v>7241.7</v>
      </c>
      <c r="R12" s="13">
        <v>111891</v>
      </c>
      <c r="S12" s="13">
        <v>6713.46</v>
      </c>
      <c r="T12" s="13">
        <v>105160</v>
      </c>
      <c r="U12" s="13">
        <v>6309.5999999999995</v>
      </c>
      <c r="V12" s="13">
        <v>105160</v>
      </c>
      <c r="W12" s="14">
        <v>6309.5999999999995</v>
      </c>
      <c r="Z12" s="22">
        <f t="shared" si="0"/>
        <v>1348875</v>
      </c>
      <c r="AA12" s="22">
        <f t="shared" si="1"/>
        <v>80932.500000000015</v>
      </c>
      <c r="AR12" s="8"/>
      <c r="AS12" s="8"/>
      <c r="AT12" s="7"/>
      <c r="AU12" s="7"/>
    </row>
    <row r="13" spans="1:47" ht="18.75" x14ac:dyDescent="0.3">
      <c r="A13" s="30" t="s">
        <v>4</v>
      </c>
      <c r="B13" s="27">
        <v>254242</v>
      </c>
      <c r="C13" s="13">
        <v>15255</v>
      </c>
      <c r="D13" s="13">
        <v>254391</v>
      </c>
      <c r="E13" s="13">
        <v>15263</v>
      </c>
      <c r="F13" s="13">
        <v>204559</v>
      </c>
      <c r="G13" s="13">
        <v>12273.52</v>
      </c>
      <c r="H13" s="13">
        <v>249157.5</v>
      </c>
      <c r="I13" s="13">
        <v>14949.449999999999</v>
      </c>
      <c r="J13" s="13">
        <v>249158</v>
      </c>
      <c r="K13" s="13">
        <v>14949.48</v>
      </c>
      <c r="L13" s="13">
        <v>261108</v>
      </c>
      <c r="M13" s="13">
        <v>15666.48</v>
      </c>
      <c r="N13" s="13">
        <v>261108</v>
      </c>
      <c r="O13" s="13">
        <v>15666.48</v>
      </c>
      <c r="P13" s="13">
        <v>261108</v>
      </c>
      <c r="Q13" s="13">
        <v>15666.48</v>
      </c>
      <c r="R13" s="13">
        <v>261108</v>
      </c>
      <c r="S13" s="13">
        <v>15666.48</v>
      </c>
      <c r="T13" s="13">
        <v>261108</v>
      </c>
      <c r="U13" s="13">
        <v>15666.48</v>
      </c>
      <c r="V13" s="13">
        <v>261108</v>
      </c>
      <c r="W13" s="14">
        <v>15666.48</v>
      </c>
      <c r="Z13" s="22">
        <f t="shared" si="0"/>
        <v>2778155.5</v>
      </c>
      <c r="AA13" s="22">
        <f t="shared" si="1"/>
        <v>166689.33000000002</v>
      </c>
      <c r="AR13" s="3"/>
      <c r="AS13" s="3"/>
      <c r="AT13" s="7"/>
      <c r="AU13" s="7"/>
    </row>
    <row r="14" spans="1:47" ht="18.75" x14ac:dyDescent="0.3">
      <c r="A14" s="30" t="s">
        <v>18</v>
      </c>
      <c r="B14" s="27"/>
      <c r="C14" s="13"/>
      <c r="D14" s="13"/>
      <c r="E14" s="13"/>
      <c r="F14" s="13"/>
      <c r="G14" s="13"/>
      <c r="H14" s="13">
        <v>48758</v>
      </c>
      <c r="I14" s="13">
        <v>2925.48</v>
      </c>
      <c r="J14" s="13">
        <v>61382</v>
      </c>
      <c r="K14" s="13">
        <v>3682.92</v>
      </c>
      <c r="L14" s="13">
        <v>74779.501257499986</v>
      </c>
      <c r="M14" s="13">
        <v>4486.7700754499992</v>
      </c>
      <c r="N14" s="13">
        <v>88747.750000000015</v>
      </c>
      <c r="O14" s="13">
        <v>5324.8650000000007</v>
      </c>
      <c r="P14" s="13">
        <v>92824.929174999997</v>
      </c>
      <c r="Q14" s="13">
        <v>5569.4957504999993</v>
      </c>
      <c r="R14" s="13">
        <v>31960</v>
      </c>
      <c r="S14" s="13">
        <v>1917.6</v>
      </c>
      <c r="T14" s="13">
        <v>98408.369500000001</v>
      </c>
      <c r="U14" s="13">
        <v>5904.5021699999998</v>
      </c>
      <c r="V14" s="13">
        <v>97721.244500000001</v>
      </c>
      <c r="W14" s="14">
        <v>5863.2746699999998</v>
      </c>
      <c r="Z14" s="22">
        <f t="shared" si="0"/>
        <v>594581.79443250003</v>
      </c>
      <c r="AA14" s="22">
        <f t="shared" si="1"/>
        <v>35674.907665949999</v>
      </c>
      <c r="AR14" s="3"/>
      <c r="AS14" s="3"/>
      <c r="AT14" s="7"/>
      <c r="AU14" s="7"/>
    </row>
    <row r="15" spans="1:47" ht="18.75" x14ac:dyDescent="0.3">
      <c r="A15" s="30" t="s">
        <v>3</v>
      </c>
      <c r="B15" s="27">
        <v>758453</v>
      </c>
      <c r="C15" s="13">
        <v>45507.18</v>
      </c>
      <c r="D15" s="13">
        <v>804253</v>
      </c>
      <c r="E15" s="13">
        <v>48255.18</v>
      </c>
      <c r="F15" s="13">
        <v>889360</v>
      </c>
      <c r="G15" s="13">
        <v>53361.599999999999</v>
      </c>
      <c r="H15" s="13">
        <v>1027540</v>
      </c>
      <c r="I15" s="13">
        <v>61652.399999999994</v>
      </c>
      <c r="J15" s="13">
        <v>938200</v>
      </c>
      <c r="K15" s="13">
        <v>56292</v>
      </c>
      <c r="L15" s="13">
        <v>919286</v>
      </c>
      <c r="M15" s="13">
        <v>55157.159999999996</v>
      </c>
      <c r="N15" s="13">
        <v>1038501</v>
      </c>
      <c r="O15" s="13">
        <v>62310.06</v>
      </c>
      <c r="P15" s="13">
        <v>985136</v>
      </c>
      <c r="Q15" s="13">
        <v>59108.159999999996</v>
      </c>
      <c r="R15" s="13">
        <v>28680</v>
      </c>
      <c r="S15" s="13">
        <v>1720.8</v>
      </c>
      <c r="T15" s="13"/>
      <c r="U15" s="13"/>
      <c r="V15" s="13">
        <v>836642</v>
      </c>
      <c r="W15" s="14">
        <v>50198.52</v>
      </c>
      <c r="Z15" s="22">
        <f t="shared" si="0"/>
        <v>8226051</v>
      </c>
      <c r="AA15" s="22">
        <f t="shared" si="1"/>
        <v>493563.05999999994</v>
      </c>
      <c r="AR15" s="3"/>
      <c r="AS15" s="3"/>
      <c r="AT15" s="7"/>
      <c r="AU15" s="7"/>
    </row>
    <row r="16" spans="1:47" ht="18.75" x14ac:dyDescent="0.3">
      <c r="A16" s="30" t="s">
        <v>19</v>
      </c>
      <c r="B16" s="27">
        <v>44215</v>
      </c>
      <c r="C16" s="13">
        <v>2652.9</v>
      </c>
      <c r="D16" s="13">
        <v>44215</v>
      </c>
      <c r="E16" s="13">
        <v>2652.9</v>
      </c>
      <c r="F16" s="13">
        <v>29875</v>
      </c>
      <c r="G16" s="13">
        <v>1792.5</v>
      </c>
      <c r="H16" s="13">
        <v>58555</v>
      </c>
      <c r="I16" s="13">
        <v>3513.2999999999997</v>
      </c>
      <c r="J16" s="13">
        <v>44215</v>
      </c>
      <c r="K16" s="13">
        <v>2652.9</v>
      </c>
      <c r="L16" s="13">
        <v>44215</v>
      </c>
      <c r="M16" s="13">
        <v>2652.9</v>
      </c>
      <c r="N16" s="13">
        <v>44215</v>
      </c>
      <c r="O16" s="13">
        <v>2652.9</v>
      </c>
      <c r="P16" s="13">
        <v>44215</v>
      </c>
      <c r="Q16" s="13">
        <v>2652.9</v>
      </c>
      <c r="R16" s="13">
        <v>44215</v>
      </c>
      <c r="S16" s="13">
        <v>2652.9</v>
      </c>
      <c r="T16" s="13">
        <v>44215</v>
      </c>
      <c r="U16" s="13">
        <v>2652.9</v>
      </c>
      <c r="V16" s="13">
        <v>92015</v>
      </c>
      <c r="W16" s="14">
        <v>5520.9</v>
      </c>
      <c r="Z16" s="22">
        <f t="shared" si="0"/>
        <v>534165</v>
      </c>
      <c r="AA16" s="22">
        <f t="shared" si="1"/>
        <v>32049.9</v>
      </c>
      <c r="AR16" s="3"/>
      <c r="AS16" s="3"/>
      <c r="AT16" s="7"/>
      <c r="AU16" s="7"/>
    </row>
    <row r="17" spans="1:47" ht="18.75" x14ac:dyDescent="0.3">
      <c r="A17" s="30" t="s">
        <v>20</v>
      </c>
      <c r="B17" s="27">
        <v>6155</v>
      </c>
      <c r="C17" s="13">
        <v>369.3</v>
      </c>
      <c r="D17" s="13">
        <v>6765</v>
      </c>
      <c r="E17" s="13">
        <v>405.9</v>
      </c>
      <c r="F17" s="13">
        <v>6227</v>
      </c>
      <c r="G17" s="13">
        <v>373.62</v>
      </c>
      <c r="H17" s="13">
        <v>7141</v>
      </c>
      <c r="I17" s="13">
        <v>428.46</v>
      </c>
      <c r="J17" s="13">
        <v>7603</v>
      </c>
      <c r="K17" s="13">
        <v>456.18</v>
      </c>
      <c r="L17" s="13">
        <v>5720</v>
      </c>
      <c r="M17" s="13">
        <v>343.2</v>
      </c>
      <c r="N17" s="13">
        <v>6865</v>
      </c>
      <c r="O17" s="13">
        <v>411.9</v>
      </c>
      <c r="P17" s="13">
        <v>8689</v>
      </c>
      <c r="Q17" s="13">
        <v>521.34</v>
      </c>
      <c r="R17" s="13">
        <v>6952</v>
      </c>
      <c r="S17" s="13">
        <v>417.12</v>
      </c>
      <c r="T17" s="13">
        <v>8495</v>
      </c>
      <c r="U17" s="13">
        <v>509.7</v>
      </c>
      <c r="V17" s="13">
        <v>10212</v>
      </c>
      <c r="W17" s="14">
        <v>612.72</v>
      </c>
      <c r="Z17" s="22">
        <f t="shared" si="0"/>
        <v>80824</v>
      </c>
      <c r="AA17" s="22">
        <f t="shared" si="1"/>
        <v>4849.4400000000005</v>
      </c>
      <c r="AR17" s="3"/>
      <c r="AS17" s="3"/>
      <c r="AT17" s="7"/>
      <c r="AU17" s="7"/>
    </row>
    <row r="18" spans="1:47" ht="18.75" x14ac:dyDescent="0.3">
      <c r="A18" s="30" t="s">
        <v>21</v>
      </c>
      <c r="B18" s="27">
        <v>5650</v>
      </c>
      <c r="C18" s="13">
        <v>339</v>
      </c>
      <c r="D18" s="13">
        <v>5650</v>
      </c>
      <c r="E18" s="13">
        <v>339</v>
      </c>
      <c r="F18" s="13">
        <v>5650</v>
      </c>
      <c r="G18" s="13">
        <v>339</v>
      </c>
      <c r="H18" s="13">
        <v>5650</v>
      </c>
      <c r="I18" s="13">
        <v>339</v>
      </c>
      <c r="J18" s="13">
        <v>5650</v>
      </c>
      <c r="K18" s="13">
        <v>339</v>
      </c>
      <c r="L18" s="13">
        <v>5650</v>
      </c>
      <c r="M18" s="13">
        <v>339</v>
      </c>
      <c r="N18" s="13">
        <v>5650</v>
      </c>
      <c r="O18" s="13">
        <v>339</v>
      </c>
      <c r="P18" s="13">
        <v>5650</v>
      </c>
      <c r="Q18" s="13">
        <v>339</v>
      </c>
      <c r="R18" s="13">
        <v>5650</v>
      </c>
      <c r="S18" s="13">
        <v>339</v>
      </c>
      <c r="T18" s="13">
        <v>5650</v>
      </c>
      <c r="U18" s="13">
        <v>339</v>
      </c>
      <c r="V18" s="13">
        <v>5650</v>
      </c>
      <c r="W18" s="14">
        <v>339</v>
      </c>
      <c r="Z18" s="22">
        <f t="shared" si="0"/>
        <v>62150</v>
      </c>
      <c r="AA18" s="22">
        <f t="shared" si="1"/>
        <v>3729</v>
      </c>
      <c r="AR18" s="7"/>
      <c r="AS18" s="7"/>
      <c r="AT18" s="7"/>
      <c r="AU18" s="7"/>
    </row>
    <row r="19" spans="1:47" ht="18.75" x14ac:dyDescent="0.3">
      <c r="A19" s="30" t="s">
        <v>2</v>
      </c>
      <c r="B19" s="27">
        <v>16969</v>
      </c>
      <c r="C19" s="13">
        <v>1018.14</v>
      </c>
      <c r="D19" s="13">
        <v>24378</v>
      </c>
      <c r="E19" s="13">
        <v>1462.6799999999998</v>
      </c>
      <c r="F19" s="13">
        <v>16969</v>
      </c>
      <c r="G19" s="13">
        <v>1018.14</v>
      </c>
      <c r="H19" s="13">
        <v>16969</v>
      </c>
      <c r="I19" s="13">
        <v>1018.14</v>
      </c>
      <c r="J19" s="13">
        <v>16969</v>
      </c>
      <c r="K19" s="13">
        <v>1018.14</v>
      </c>
      <c r="L19" s="13">
        <v>16969</v>
      </c>
      <c r="M19" s="13">
        <v>1018.14</v>
      </c>
      <c r="N19" s="13">
        <v>16969</v>
      </c>
      <c r="O19" s="13">
        <v>1018.14</v>
      </c>
      <c r="P19" s="13">
        <v>16969</v>
      </c>
      <c r="Q19" s="13">
        <v>1018.14</v>
      </c>
      <c r="R19" s="13">
        <v>16969</v>
      </c>
      <c r="S19" s="13">
        <v>1018.14</v>
      </c>
      <c r="T19" s="13">
        <v>16969</v>
      </c>
      <c r="U19" s="13">
        <v>1018.14</v>
      </c>
      <c r="V19" s="13">
        <v>16969</v>
      </c>
      <c r="W19" s="14">
        <v>1018.14</v>
      </c>
      <c r="Z19" s="22">
        <f t="shared" si="0"/>
        <v>194068</v>
      </c>
      <c r="AA19" s="22">
        <f t="shared" si="1"/>
        <v>11644.079999999998</v>
      </c>
      <c r="AR19" s="3"/>
      <c r="AS19" s="3"/>
      <c r="AT19" s="7"/>
      <c r="AU19" s="7"/>
    </row>
    <row r="20" spans="1:47" ht="18.75" x14ac:dyDescent="0.3">
      <c r="A20" s="30" t="s">
        <v>21</v>
      </c>
      <c r="B20" s="27">
        <v>179250</v>
      </c>
      <c r="C20" s="13">
        <v>10755</v>
      </c>
      <c r="D20" s="13">
        <v>179250</v>
      </c>
      <c r="E20" s="13">
        <v>10755</v>
      </c>
      <c r="F20" s="13">
        <v>179250</v>
      </c>
      <c r="G20" s="13">
        <v>10755</v>
      </c>
      <c r="H20" s="13">
        <v>179250</v>
      </c>
      <c r="I20" s="13">
        <v>10755</v>
      </c>
      <c r="J20" s="13">
        <v>179250</v>
      </c>
      <c r="K20" s="13">
        <v>10755</v>
      </c>
      <c r="L20" s="13">
        <v>179250</v>
      </c>
      <c r="M20" s="13">
        <v>10755</v>
      </c>
      <c r="N20" s="13">
        <v>179250</v>
      </c>
      <c r="O20" s="13">
        <v>10755</v>
      </c>
      <c r="P20" s="13">
        <v>179250</v>
      </c>
      <c r="Q20" s="13">
        <v>10755</v>
      </c>
      <c r="R20" s="13">
        <v>179250</v>
      </c>
      <c r="S20" s="13">
        <v>10755</v>
      </c>
      <c r="T20" s="13">
        <v>179250</v>
      </c>
      <c r="U20" s="13">
        <v>10755</v>
      </c>
      <c r="V20" s="13">
        <v>179250</v>
      </c>
      <c r="W20" s="14">
        <v>10755</v>
      </c>
      <c r="Z20" s="22">
        <f t="shared" si="0"/>
        <v>1971750</v>
      </c>
      <c r="AA20" s="22">
        <f t="shared" si="1"/>
        <v>118305</v>
      </c>
      <c r="AR20" s="3"/>
      <c r="AS20" s="3"/>
      <c r="AT20" s="7"/>
      <c r="AU20" s="7"/>
    </row>
    <row r="21" spans="1:47" s="1" customFormat="1" ht="18.75" x14ac:dyDescent="0.3">
      <c r="A21" s="30" t="s">
        <v>22</v>
      </c>
      <c r="B21" s="27">
        <v>16730</v>
      </c>
      <c r="C21" s="13">
        <v>1003.8</v>
      </c>
      <c r="D21" s="13">
        <v>17925</v>
      </c>
      <c r="E21" s="13">
        <v>1075.5</v>
      </c>
      <c r="F21" s="13">
        <v>52580</v>
      </c>
      <c r="G21" s="13">
        <v>3154.7999999999997</v>
      </c>
      <c r="H21" s="13">
        <v>50190</v>
      </c>
      <c r="I21" s="13">
        <v>3011.4</v>
      </c>
      <c r="J21" s="13">
        <v>34655</v>
      </c>
      <c r="K21" s="13">
        <v>2079.2999999999997</v>
      </c>
      <c r="L21" s="13">
        <v>34655</v>
      </c>
      <c r="M21" s="13">
        <v>2079.2999999999997</v>
      </c>
      <c r="N21" s="13">
        <v>34655</v>
      </c>
      <c r="O21" s="13">
        <v>2079.2999999999997</v>
      </c>
      <c r="P21" s="13">
        <v>34655</v>
      </c>
      <c r="Q21" s="13">
        <v>2079.2999999999997</v>
      </c>
      <c r="R21" s="13">
        <v>34655</v>
      </c>
      <c r="S21" s="13">
        <v>2079.2999999999997</v>
      </c>
      <c r="T21" s="13">
        <v>34655</v>
      </c>
      <c r="U21" s="13">
        <v>2079.2999999999997</v>
      </c>
      <c r="V21" s="13">
        <v>34655</v>
      </c>
      <c r="W21" s="14">
        <v>2079.2999999999997</v>
      </c>
      <c r="Z21" s="22">
        <f t="shared" si="0"/>
        <v>380010</v>
      </c>
      <c r="AA21" s="22">
        <f t="shared" si="1"/>
        <v>22800.599999999995</v>
      </c>
      <c r="AR21" s="7"/>
      <c r="AS21" s="7"/>
      <c r="AT21" s="7"/>
      <c r="AU21" s="7"/>
    </row>
    <row r="22" spans="1:47" ht="18.75" x14ac:dyDescent="0.3">
      <c r="A22" s="30" t="s">
        <v>23</v>
      </c>
      <c r="B22" s="27">
        <v>71700</v>
      </c>
      <c r="C22" s="13">
        <v>4302</v>
      </c>
      <c r="D22" s="13">
        <v>71700</v>
      </c>
      <c r="E22" s="13">
        <v>4302</v>
      </c>
      <c r="F22" s="13">
        <v>71700</v>
      </c>
      <c r="G22" s="13">
        <v>4302</v>
      </c>
      <c r="H22" s="13">
        <v>71700</v>
      </c>
      <c r="I22" s="13">
        <v>4302</v>
      </c>
      <c r="J22" s="13">
        <v>16969</v>
      </c>
      <c r="K22" s="13">
        <v>1018.14</v>
      </c>
      <c r="L22" s="13">
        <v>71700</v>
      </c>
      <c r="M22" s="13">
        <v>4302</v>
      </c>
      <c r="N22" s="13">
        <v>71702</v>
      </c>
      <c r="O22" s="13">
        <v>4302.12</v>
      </c>
      <c r="P22" s="13">
        <v>71702</v>
      </c>
      <c r="Q22" s="13">
        <v>4302.12</v>
      </c>
      <c r="R22" s="13">
        <v>71702</v>
      </c>
      <c r="S22" s="13">
        <v>4302.12</v>
      </c>
      <c r="T22" s="13">
        <v>71702</v>
      </c>
      <c r="U22" s="13">
        <v>4302.12</v>
      </c>
      <c r="V22" s="13">
        <v>71702</v>
      </c>
      <c r="W22" s="14">
        <v>4302.12</v>
      </c>
      <c r="Z22" s="22">
        <f t="shared" si="0"/>
        <v>733979</v>
      </c>
      <c r="AA22" s="22">
        <f t="shared" si="1"/>
        <v>44038.740000000005</v>
      </c>
      <c r="AR22" s="7"/>
      <c r="AS22" s="7"/>
      <c r="AT22" s="7"/>
      <c r="AU22" s="7"/>
    </row>
    <row r="23" spans="1:47" ht="18.75" x14ac:dyDescent="0.3">
      <c r="A23" s="30" t="s">
        <v>24</v>
      </c>
      <c r="B23" s="27">
        <v>21151</v>
      </c>
      <c r="C23" s="13">
        <v>1269.06</v>
      </c>
      <c r="D23" s="13">
        <v>13981.5</v>
      </c>
      <c r="E23" s="13">
        <v>838.89</v>
      </c>
      <c r="F23" s="13">
        <f>13981.5+14340</f>
        <v>28321.5</v>
      </c>
      <c r="G23" s="13">
        <f>838.89+860</f>
        <v>1698.8899999999999</v>
      </c>
      <c r="H23" s="13">
        <v>21152</v>
      </c>
      <c r="I23" s="13">
        <v>1269.1199999999999</v>
      </c>
      <c r="J23" s="13">
        <v>21152</v>
      </c>
      <c r="K23" s="13">
        <v>1269.1199999999999</v>
      </c>
      <c r="L23" s="13">
        <v>21152</v>
      </c>
      <c r="M23" s="13">
        <v>1269.1199999999999</v>
      </c>
      <c r="N23" s="13">
        <v>21152</v>
      </c>
      <c r="O23" s="13">
        <v>1269.1199999999999</v>
      </c>
      <c r="P23" s="13">
        <v>21151</v>
      </c>
      <c r="Q23" s="13">
        <v>1269.06</v>
      </c>
      <c r="R23" s="13">
        <v>21151</v>
      </c>
      <c r="S23" s="13">
        <v>1269.06</v>
      </c>
      <c r="T23" s="13">
        <v>21151</v>
      </c>
      <c r="U23" s="13">
        <v>1269.06</v>
      </c>
      <c r="V23" s="13">
        <v>21151</v>
      </c>
      <c r="W23" s="14">
        <v>1269.06</v>
      </c>
      <c r="Z23" s="22">
        <f t="shared" si="0"/>
        <v>232666</v>
      </c>
      <c r="AA23" s="22">
        <f t="shared" si="1"/>
        <v>13959.559999999998</v>
      </c>
      <c r="AR23" s="7"/>
      <c r="AS23" s="7"/>
      <c r="AT23" s="7"/>
      <c r="AU23" s="7"/>
    </row>
    <row r="24" spans="1:47" ht="18.75" x14ac:dyDescent="0.3">
      <c r="A24" s="30" t="s">
        <v>25</v>
      </c>
      <c r="B24" s="27">
        <v>8494</v>
      </c>
      <c r="C24" s="13">
        <v>510</v>
      </c>
      <c r="D24" s="13">
        <v>8495</v>
      </c>
      <c r="E24" s="13">
        <v>510</v>
      </c>
      <c r="F24" s="13">
        <v>8495</v>
      </c>
      <c r="G24" s="13">
        <v>509.67</v>
      </c>
      <c r="H24" s="13">
        <v>13578</v>
      </c>
      <c r="I24" s="13">
        <v>814.68</v>
      </c>
      <c r="J24" s="13">
        <v>8494</v>
      </c>
      <c r="K24" s="13">
        <v>509.64</v>
      </c>
      <c r="L24" s="13">
        <v>8496</v>
      </c>
      <c r="M24" s="13">
        <v>509.76</v>
      </c>
      <c r="N24" s="13">
        <v>8494</v>
      </c>
      <c r="O24" s="13">
        <v>509.64</v>
      </c>
      <c r="P24" s="13">
        <v>8494</v>
      </c>
      <c r="Q24" s="13">
        <v>509.64</v>
      </c>
      <c r="R24" s="13">
        <v>8494</v>
      </c>
      <c r="S24" s="13">
        <v>509.64</v>
      </c>
      <c r="T24" s="13">
        <v>8494</v>
      </c>
      <c r="U24" s="13">
        <v>509.64</v>
      </c>
      <c r="V24" s="13">
        <v>8494</v>
      </c>
      <c r="W24" s="14">
        <v>509.64</v>
      </c>
      <c r="Z24" s="22">
        <f t="shared" si="0"/>
        <v>98522</v>
      </c>
      <c r="AA24" s="22">
        <f t="shared" si="1"/>
        <v>5911.9500000000007</v>
      </c>
      <c r="AR24" s="7"/>
      <c r="AS24" s="7"/>
      <c r="AT24" s="7"/>
      <c r="AU24" s="7"/>
    </row>
    <row r="25" spans="1:47" ht="18.75" x14ac:dyDescent="0.3">
      <c r="A25" s="30" t="s">
        <v>26</v>
      </c>
      <c r="B25" s="27">
        <v>21510</v>
      </c>
      <c r="C25" s="13">
        <v>1290.5999999999999</v>
      </c>
      <c r="D25" s="13">
        <v>21510</v>
      </c>
      <c r="E25" s="13">
        <v>1290.5999999999999</v>
      </c>
      <c r="F25" s="13">
        <v>41510</v>
      </c>
      <c r="G25" s="13">
        <v>2490.6</v>
      </c>
      <c r="H25" s="13">
        <v>28680</v>
      </c>
      <c r="I25" s="13">
        <v>1720.8</v>
      </c>
      <c r="J25" s="13">
        <v>28680</v>
      </c>
      <c r="K25" s="13">
        <v>1720.8</v>
      </c>
      <c r="L25" s="13">
        <v>28680</v>
      </c>
      <c r="M25" s="13">
        <v>1720.8</v>
      </c>
      <c r="N25" s="13">
        <v>28680</v>
      </c>
      <c r="O25" s="13">
        <v>1720.8</v>
      </c>
      <c r="P25" s="13">
        <v>28680</v>
      </c>
      <c r="Q25" s="13">
        <v>1720.8</v>
      </c>
      <c r="R25" s="13">
        <v>28680</v>
      </c>
      <c r="S25" s="13">
        <v>1720.8</v>
      </c>
      <c r="T25" s="13">
        <v>28680</v>
      </c>
      <c r="U25" s="13">
        <v>1720.8</v>
      </c>
      <c r="V25" s="13">
        <v>28680</v>
      </c>
      <c r="W25" s="14">
        <v>1720.8</v>
      </c>
      <c r="Z25" s="22">
        <f t="shared" si="0"/>
        <v>313970</v>
      </c>
      <c r="AA25" s="22">
        <f t="shared" si="1"/>
        <v>18838.199999999997</v>
      </c>
      <c r="AR25" s="7"/>
      <c r="AS25" s="7"/>
      <c r="AT25" s="7"/>
      <c r="AU25" s="7"/>
    </row>
    <row r="26" spans="1:47" ht="18.75" x14ac:dyDescent="0.3">
      <c r="A26" s="30" t="s">
        <v>7</v>
      </c>
      <c r="B26" s="27">
        <v>1016708.836</v>
      </c>
      <c r="C26" s="13">
        <v>61002.530159999995</v>
      </c>
      <c r="D26" s="13">
        <v>1014017.25</v>
      </c>
      <c r="E26" s="13">
        <v>60841.034999999996</v>
      </c>
      <c r="F26" s="13">
        <v>1009894.5</v>
      </c>
      <c r="G26" s="13">
        <v>60593.67</v>
      </c>
      <c r="H26" s="13">
        <v>1008281.25</v>
      </c>
      <c r="I26" s="13">
        <v>60496.875</v>
      </c>
      <c r="J26" s="13">
        <v>1006668</v>
      </c>
      <c r="K26" s="13">
        <v>60400.079999999994</v>
      </c>
      <c r="L26" s="13">
        <v>1005413.25</v>
      </c>
      <c r="M26" s="13">
        <v>60324.794999999998</v>
      </c>
      <c r="N26" s="13">
        <v>1003979.25</v>
      </c>
      <c r="O26" s="13">
        <v>60238.754999999997</v>
      </c>
      <c r="P26" s="13">
        <v>1002724.5</v>
      </c>
      <c r="Q26" s="13">
        <v>60163.47</v>
      </c>
      <c r="R26" s="13">
        <v>1001648.9999999999</v>
      </c>
      <c r="S26" s="13">
        <v>60098.939999999988</v>
      </c>
      <c r="T26" s="13">
        <v>1002186.75</v>
      </c>
      <c r="U26" s="13">
        <v>60131.204999999994</v>
      </c>
      <c r="V26" s="13">
        <v>999139.5</v>
      </c>
      <c r="W26" s="14">
        <v>59948.369999999995</v>
      </c>
      <c r="Z26" s="22">
        <f t="shared" si="0"/>
        <v>11070662.085999999</v>
      </c>
      <c r="AA26" s="22">
        <f t="shared" si="1"/>
        <v>664239.72515999991</v>
      </c>
      <c r="AR26" s="8"/>
      <c r="AS26" s="9"/>
      <c r="AT26" s="7"/>
      <c r="AU26" s="7"/>
    </row>
    <row r="27" spans="1:47" ht="18.75" x14ac:dyDescent="0.3">
      <c r="A27" s="30" t="s">
        <v>7</v>
      </c>
      <c r="B27" s="27">
        <v>8658</v>
      </c>
      <c r="C27" s="13">
        <v>346.32</v>
      </c>
      <c r="D27" s="13">
        <v>8658</v>
      </c>
      <c r="E27" s="13">
        <v>519.48</v>
      </c>
      <c r="F27" s="13"/>
      <c r="G27" s="13"/>
      <c r="H27" s="13">
        <v>8658</v>
      </c>
      <c r="I27" s="13">
        <v>519.48</v>
      </c>
      <c r="J27" s="13">
        <v>8486</v>
      </c>
      <c r="K27" s="13">
        <v>509.15999999999997</v>
      </c>
      <c r="L27" s="13"/>
      <c r="M27" s="13"/>
      <c r="N27" s="13">
        <v>8313</v>
      </c>
      <c r="O27" s="13">
        <v>498.78</v>
      </c>
      <c r="P27" s="13"/>
      <c r="Q27" s="13"/>
      <c r="R27" s="13">
        <v>8342</v>
      </c>
      <c r="S27" s="13">
        <v>500.52</v>
      </c>
      <c r="T27" s="13">
        <v>8342</v>
      </c>
      <c r="U27" s="13">
        <v>500.52</v>
      </c>
      <c r="V27" s="13">
        <v>8342</v>
      </c>
      <c r="W27" s="14">
        <v>500.52</v>
      </c>
      <c r="Z27" s="22">
        <f t="shared" si="0"/>
        <v>67799</v>
      </c>
      <c r="AA27" s="22">
        <f t="shared" si="1"/>
        <v>3894.78</v>
      </c>
      <c r="AR27" s="3"/>
      <c r="AS27" s="3"/>
      <c r="AT27" s="7"/>
      <c r="AU27" s="7"/>
    </row>
    <row r="28" spans="1:47" ht="18.75" x14ac:dyDescent="0.3">
      <c r="A28" s="30" t="s">
        <v>0</v>
      </c>
      <c r="B28" s="27">
        <v>271974</v>
      </c>
      <c r="C28" s="13">
        <v>16318.439999999999</v>
      </c>
      <c r="D28" s="13">
        <v>277626.13999999996</v>
      </c>
      <c r="E28" s="13">
        <v>16657.568399999996</v>
      </c>
      <c r="F28" s="13">
        <v>279183</v>
      </c>
      <c r="G28" s="13">
        <v>16750.98</v>
      </c>
      <c r="H28" s="13">
        <v>284210</v>
      </c>
      <c r="I28" s="13">
        <v>17052.599999999999</v>
      </c>
      <c r="J28" s="13">
        <v>302387.87999999995</v>
      </c>
      <c r="K28" s="13">
        <v>18143.272799999995</v>
      </c>
      <c r="L28" s="13">
        <v>308982.98</v>
      </c>
      <c r="M28" s="13">
        <v>18538.978799999997</v>
      </c>
      <c r="N28" s="13">
        <v>316074.87999999995</v>
      </c>
      <c r="O28" s="13">
        <v>18964.492799999996</v>
      </c>
      <c r="P28" s="13">
        <v>328471.20999999996</v>
      </c>
      <c r="Q28" s="13">
        <v>19708.272599999997</v>
      </c>
      <c r="R28" s="13">
        <v>347970.68999999994</v>
      </c>
      <c r="S28" s="13">
        <v>20878.241399999995</v>
      </c>
      <c r="T28" s="13">
        <v>353076.02999999997</v>
      </c>
      <c r="U28" s="13">
        <v>21184.561799999996</v>
      </c>
      <c r="V28" s="13">
        <v>354179</v>
      </c>
      <c r="W28" s="14">
        <v>21250.739999999998</v>
      </c>
      <c r="Z28" s="22">
        <f t="shared" si="0"/>
        <v>3424135.8099999996</v>
      </c>
      <c r="AA28" s="22">
        <f t="shared" si="1"/>
        <v>205448.14859999993</v>
      </c>
      <c r="AR28" s="3"/>
      <c r="AS28" s="2"/>
      <c r="AT28" s="2"/>
      <c r="AU28" s="7"/>
    </row>
    <row r="29" spans="1:47" ht="18.75" x14ac:dyDescent="0.3">
      <c r="A29" s="30" t="s">
        <v>0</v>
      </c>
      <c r="B29" s="27">
        <v>11754.68</v>
      </c>
      <c r="C29" s="13">
        <v>705.2808</v>
      </c>
      <c r="D29" s="13">
        <v>11980.77</v>
      </c>
      <c r="E29" s="13">
        <v>718.84619999999995</v>
      </c>
      <c r="F29" s="13">
        <v>35517</v>
      </c>
      <c r="G29" s="13">
        <v>2131.02</v>
      </c>
      <c r="H29" s="13">
        <v>35517</v>
      </c>
      <c r="I29" s="13">
        <v>2131.02</v>
      </c>
      <c r="J29" s="13">
        <v>9577.9399999999987</v>
      </c>
      <c r="K29" s="13">
        <v>574.67639999999994</v>
      </c>
      <c r="L29" s="13">
        <v>12353.31</v>
      </c>
      <c r="M29" s="13">
        <v>741.19859999999994</v>
      </c>
      <c r="N29" s="13">
        <v>9590.93</v>
      </c>
      <c r="O29" s="13">
        <v>575.45579999999995</v>
      </c>
      <c r="P29" s="13">
        <v>10633.970000000001</v>
      </c>
      <c r="Q29" s="13">
        <v>638.03820000000007</v>
      </c>
      <c r="R29" s="13">
        <v>11281.630000000001</v>
      </c>
      <c r="S29" s="13">
        <v>676.89780000000007</v>
      </c>
      <c r="T29" s="13">
        <v>12953.720000000001</v>
      </c>
      <c r="U29" s="13">
        <v>777.22320000000002</v>
      </c>
      <c r="V29" s="13">
        <v>35517</v>
      </c>
      <c r="W29" s="14">
        <v>2131.02</v>
      </c>
      <c r="Z29" s="22">
        <f t="shared" si="0"/>
        <v>196677.95</v>
      </c>
      <c r="AA29" s="22">
        <f t="shared" si="1"/>
        <v>11800.677000000001</v>
      </c>
      <c r="AR29" s="3"/>
      <c r="AS29" s="3"/>
      <c r="AT29" s="7"/>
      <c r="AU29" s="7"/>
    </row>
    <row r="30" spans="1:47" ht="18.75" x14ac:dyDescent="0.3">
      <c r="A30" s="30" t="s">
        <v>0</v>
      </c>
      <c r="B30" s="27">
        <v>35517.14</v>
      </c>
      <c r="C30" s="13">
        <v>2131.0283999999997</v>
      </c>
      <c r="D30" s="13">
        <v>35517.14</v>
      </c>
      <c r="E30" s="13">
        <v>2131.0283999999997</v>
      </c>
      <c r="F30" s="13">
        <v>12470</v>
      </c>
      <c r="G30" s="13">
        <v>748.19999999999993</v>
      </c>
      <c r="H30" s="13">
        <v>12278</v>
      </c>
      <c r="I30" s="13">
        <v>736.68</v>
      </c>
      <c r="J30" s="13">
        <v>35517.14</v>
      </c>
      <c r="K30" s="13">
        <v>2131.0283999999997</v>
      </c>
      <c r="L30" s="13">
        <v>35517.14</v>
      </c>
      <c r="M30" s="13">
        <v>2131.0283999999997</v>
      </c>
      <c r="N30" s="13">
        <v>35517.14</v>
      </c>
      <c r="O30" s="13">
        <v>2131.0283999999997</v>
      </c>
      <c r="P30" s="13">
        <v>35517.14</v>
      </c>
      <c r="Q30" s="13">
        <v>2131.0283999999997</v>
      </c>
      <c r="R30" s="13">
        <v>35517.14</v>
      </c>
      <c r="S30" s="13">
        <v>2131.0283999999997</v>
      </c>
      <c r="T30" s="13">
        <v>35517.14</v>
      </c>
      <c r="U30" s="13">
        <v>2131.0283999999997</v>
      </c>
      <c r="V30" s="13">
        <v>10259</v>
      </c>
      <c r="W30" s="14">
        <v>615.54</v>
      </c>
      <c r="Z30" s="22">
        <f t="shared" si="0"/>
        <v>319144.12000000005</v>
      </c>
      <c r="AA30" s="22">
        <f t="shared" si="1"/>
        <v>19148.647199999996</v>
      </c>
      <c r="AR30" s="3"/>
      <c r="AS30" s="3"/>
      <c r="AT30" s="7"/>
      <c r="AU30" s="7"/>
    </row>
    <row r="31" spans="1:47" ht="18.75" x14ac:dyDescent="0.3">
      <c r="A31" s="30" t="s">
        <v>0</v>
      </c>
      <c r="B31" s="27">
        <v>1236.82</v>
      </c>
      <c r="C31" s="13">
        <v>74.209199999999996</v>
      </c>
      <c r="D31" s="13">
        <v>1236.82</v>
      </c>
      <c r="E31" s="13">
        <v>74.209199999999996</v>
      </c>
      <c r="F31" s="13">
        <v>1237</v>
      </c>
      <c r="G31" s="13">
        <v>74.22</v>
      </c>
      <c r="H31" s="13">
        <v>1237</v>
      </c>
      <c r="I31" s="13">
        <v>74.22</v>
      </c>
      <c r="J31" s="13">
        <v>9000</v>
      </c>
      <c r="K31" s="13">
        <v>540</v>
      </c>
      <c r="L31" s="13">
        <v>1236.82</v>
      </c>
      <c r="M31" s="13">
        <v>74.209199999999996</v>
      </c>
      <c r="N31" s="13"/>
      <c r="O31" s="13"/>
      <c r="P31" s="13"/>
      <c r="Q31" s="13"/>
      <c r="R31" s="13"/>
      <c r="S31" s="13"/>
      <c r="T31" s="13">
        <v>1236.82</v>
      </c>
      <c r="U31" s="13">
        <v>74.209199999999996</v>
      </c>
      <c r="V31" s="13"/>
      <c r="W31" s="14"/>
      <c r="Z31" s="22">
        <f t="shared" si="0"/>
        <v>16421.28</v>
      </c>
      <c r="AA31" s="22">
        <f t="shared" si="1"/>
        <v>985.27679999999998</v>
      </c>
      <c r="AR31" s="3"/>
      <c r="AS31" s="3"/>
      <c r="AT31" s="7"/>
      <c r="AU31" s="7"/>
    </row>
    <row r="32" spans="1:47" ht="18.75" x14ac:dyDescent="0.3">
      <c r="A32" s="30" t="s">
        <v>6</v>
      </c>
      <c r="B32" s="27">
        <v>14851</v>
      </c>
      <c r="C32" s="13">
        <v>594.04</v>
      </c>
      <c r="D32" s="13">
        <v>18934.416499999999</v>
      </c>
      <c r="E32" s="13">
        <v>1136.0649899999999</v>
      </c>
      <c r="F32" s="13">
        <v>17842.657329999998</v>
      </c>
      <c r="G32" s="13">
        <v>1070.5594397999998</v>
      </c>
      <c r="H32" s="13">
        <v>19803</v>
      </c>
      <c r="I32" s="13">
        <v>1188.18</v>
      </c>
      <c r="J32" s="13">
        <v>19113.178940000002</v>
      </c>
      <c r="K32" s="13">
        <v>1146.7907364</v>
      </c>
      <c r="L32" s="13">
        <v>18818</v>
      </c>
      <c r="M32" s="13">
        <v>1129.08</v>
      </c>
      <c r="N32" s="13">
        <v>18828</v>
      </c>
      <c r="O32" s="13">
        <v>1129.68</v>
      </c>
      <c r="P32" s="13">
        <v>18269.815457500001</v>
      </c>
      <c r="Q32" s="13">
        <v>1096.1889274499999</v>
      </c>
      <c r="R32" s="13">
        <v>101996.15146000001</v>
      </c>
      <c r="S32" s="13">
        <v>6119.7690876000006</v>
      </c>
      <c r="T32" s="13">
        <v>27970.302645</v>
      </c>
      <c r="U32" s="13">
        <v>1678.2181587</v>
      </c>
      <c r="V32" s="13">
        <v>25792.817262500001</v>
      </c>
      <c r="W32" s="14">
        <v>1547.56903575</v>
      </c>
      <c r="Z32" s="22">
        <f t="shared" si="0"/>
        <v>302219.33959499997</v>
      </c>
      <c r="AA32" s="22">
        <f t="shared" si="1"/>
        <v>17836.140375700001</v>
      </c>
      <c r="AR32" s="3"/>
      <c r="AS32" s="3"/>
      <c r="AT32" s="7"/>
      <c r="AU32" s="7"/>
    </row>
    <row r="33" spans="1:47" ht="18.75" x14ac:dyDescent="0.3">
      <c r="A33" s="30" t="s">
        <v>5</v>
      </c>
      <c r="B33" s="27">
        <v>42987</v>
      </c>
      <c r="C33" s="13">
        <v>1719.48</v>
      </c>
      <c r="D33" s="13">
        <v>19325</v>
      </c>
      <c r="E33" s="13">
        <v>1159.5</v>
      </c>
      <c r="F33" s="13">
        <v>29576</v>
      </c>
      <c r="G33" s="13">
        <v>1774.56</v>
      </c>
      <c r="H33" s="13">
        <v>28800</v>
      </c>
      <c r="I33" s="13">
        <v>1728</v>
      </c>
      <c r="J33" s="13">
        <v>31463</v>
      </c>
      <c r="K33" s="13">
        <v>1887.78</v>
      </c>
      <c r="L33" s="13">
        <v>31800</v>
      </c>
      <c r="M33" s="13">
        <v>1908</v>
      </c>
      <c r="N33" s="13">
        <v>31802</v>
      </c>
      <c r="O33" s="13">
        <v>1908.12</v>
      </c>
      <c r="P33" s="13">
        <v>33802</v>
      </c>
      <c r="Q33" s="13">
        <v>2028.12</v>
      </c>
      <c r="R33" s="13">
        <v>26066.347982499999</v>
      </c>
      <c r="S33" s="13">
        <v>1563.9808789499998</v>
      </c>
      <c r="T33" s="13">
        <v>43780</v>
      </c>
      <c r="U33" s="13">
        <v>2626.7999999999997</v>
      </c>
      <c r="V33" s="13">
        <v>47043</v>
      </c>
      <c r="W33" s="14">
        <v>2822.58</v>
      </c>
      <c r="Z33" s="22">
        <f t="shared" si="0"/>
        <v>366444.34798249998</v>
      </c>
      <c r="AA33" s="22">
        <f t="shared" si="1"/>
        <v>21126.920878949997</v>
      </c>
      <c r="AR33" s="3"/>
      <c r="AS33" s="3"/>
      <c r="AT33" s="7"/>
      <c r="AU33" s="7"/>
    </row>
    <row r="34" spans="1:47" ht="18.75" x14ac:dyDescent="0.3">
      <c r="A34" s="30" t="s">
        <v>30</v>
      </c>
      <c r="B34" s="27">
        <v>21981</v>
      </c>
      <c r="C34" s="13">
        <v>1318.86</v>
      </c>
      <c r="D34" s="13"/>
      <c r="E34" s="13"/>
      <c r="F34" s="13">
        <v>18389</v>
      </c>
      <c r="G34" s="13">
        <v>1103.3399999999999</v>
      </c>
      <c r="H34" s="13">
        <v>23539</v>
      </c>
      <c r="I34" s="13">
        <v>1412.34</v>
      </c>
      <c r="J34" s="13">
        <v>20614</v>
      </c>
      <c r="K34" s="13">
        <v>1236.8399999999999</v>
      </c>
      <c r="L34" s="13">
        <v>20614</v>
      </c>
      <c r="M34" s="13">
        <v>1236.8399999999999</v>
      </c>
      <c r="N34" s="13">
        <v>20614</v>
      </c>
      <c r="O34" s="13">
        <v>1236.8399999999999</v>
      </c>
      <c r="P34" s="13">
        <v>20614</v>
      </c>
      <c r="Q34" s="13">
        <v>1236.8399999999999</v>
      </c>
      <c r="R34" s="13">
        <v>20614</v>
      </c>
      <c r="S34" s="13">
        <v>1236.8399999999999</v>
      </c>
      <c r="T34" s="13">
        <v>20614</v>
      </c>
      <c r="U34" s="13">
        <v>1236.8399999999999</v>
      </c>
      <c r="V34" s="13">
        <v>20614</v>
      </c>
      <c r="W34" s="14">
        <v>1236.8399999999999</v>
      </c>
      <c r="Z34" s="22">
        <f t="shared" si="0"/>
        <v>208207</v>
      </c>
      <c r="AA34" s="22">
        <f t="shared" si="1"/>
        <v>12492.42</v>
      </c>
      <c r="AR34" s="7"/>
      <c r="AS34" s="7"/>
      <c r="AT34" s="7"/>
      <c r="AU34" s="7"/>
    </row>
    <row r="35" spans="1:47" ht="18.75" x14ac:dyDescent="0.3">
      <c r="A35" s="30" t="s">
        <v>31</v>
      </c>
      <c r="B35" s="27">
        <v>86900</v>
      </c>
      <c r="C35" s="13">
        <v>5214</v>
      </c>
      <c r="D35" s="13">
        <v>86900</v>
      </c>
      <c r="E35" s="13">
        <v>5214</v>
      </c>
      <c r="F35" s="13">
        <v>86900</v>
      </c>
      <c r="G35" s="13">
        <v>5214</v>
      </c>
      <c r="H35" s="13">
        <v>86900</v>
      </c>
      <c r="I35" s="13">
        <v>5214</v>
      </c>
      <c r="J35" s="13">
        <v>85320</v>
      </c>
      <c r="K35" s="13">
        <v>5119.2</v>
      </c>
      <c r="L35" s="13">
        <v>85320</v>
      </c>
      <c r="M35" s="13">
        <v>5119.2</v>
      </c>
      <c r="N35" s="13">
        <v>85320</v>
      </c>
      <c r="O35" s="13">
        <v>5119.2</v>
      </c>
      <c r="P35" s="13">
        <v>85320</v>
      </c>
      <c r="Q35" s="13">
        <v>5119.2</v>
      </c>
      <c r="R35" s="13">
        <v>85320</v>
      </c>
      <c r="S35" s="13">
        <v>5119.2</v>
      </c>
      <c r="T35" s="13">
        <v>85320</v>
      </c>
      <c r="U35" s="13">
        <v>5119.2</v>
      </c>
      <c r="V35" s="13">
        <v>85320</v>
      </c>
      <c r="W35" s="14">
        <v>5119.2</v>
      </c>
      <c r="Z35" s="22">
        <f t="shared" si="0"/>
        <v>944840</v>
      </c>
      <c r="AA35" s="22">
        <f t="shared" si="1"/>
        <v>56690.399999999987</v>
      </c>
      <c r="AR35" s="3"/>
      <c r="AS35" s="3"/>
      <c r="AT35" s="7"/>
      <c r="AU35" s="7"/>
    </row>
    <row r="36" spans="1:47" ht="18.75" x14ac:dyDescent="0.3">
      <c r="A36" s="30" t="s">
        <v>32</v>
      </c>
      <c r="B36" s="27">
        <v>66000</v>
      </c>
      <c r="C36" s="13">
        <v>3960</v>
      </c>
      <c r="D36" s="13">
        <v>66000</v>
      </c>
      <c r="E36" s="13">
        <v>3960</v>
      </c>
      <c r="F36" s="13">
        <v>66000</v>
      </c>
      <c r="G36" s="13">
        <v>3960</v>
      </c>
      <c r="H36" s="13">
        <v>66000</v>
      </c>
      <c r="I36" s="13">
        <v>3960</v>
      </c>
      <c r="J36" s="13">
        <v>66000</v>
      </c>
      <c r="K36" s="13">
        <v>3960</v>
      </c>
      <c r="L36" s="13">
        <v>66000</v>
      </c>
      <c r="M36" s="13">
        <v>3960</v>
      </c>
      <c r="N36" s="13">
        <v>66000</v>
      </c>
      <c r="O36" s="13">
        <v>3960</v>
      </c>
      <c r="P36" s="13">
        <v>66000</v>
      </c>
      <c r="Q36" s="13">
        <v>3960</v>
      </c>
      <c r="R36" s="13"/>
      <c r="S36" s="13"/>
      <c r="T36" s="13">
        <v>66000</v>
      </c>
      <c r="U36" s="13">
        <v>3960</v>
      </c>
      <c r="V36" s="13"/>
      <c r="W36" s="14"/>
      <c r="Z36" s="22">
        <f t="shared" si="0"/>
        <v>594000</v>
      </c>
      <c r="AA36" s="22">
        <f t="shared" si="1"/>
        <v>35640</v>
      </c>
      <c r="AR36" s="3"/>
      <c r="AS36" s="3"/>
      <c r="AT36" s="7"/>
      <c r="AU36" s="7"/>
    </row>
    <row r="37" spans="1:47" ht="19.5" thickBot="1" x14ac:dyDescent="0.35">
      <c r="A37" s="31" t="s">
        <v>27</v>
      </c>
      <c r="B37" s="28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>
        <v>324500</v>
      </c>
      <c r="W37" s="16">
        <v>52375</v>
      </c>
      <c r="Z37" s="22">
        <f t="shared" si="0"/>
        <v>324500</v>
      </c>
      <c r="AA37" s="22">
        <f t="shared" si="1"/>
        <v>52375</v>
      </c>
    </row>
    <row r="38" spans="1:47" ht="15.75" thickBot="1" x14ac:dyDescent="0.3"/>
    <row r="39" spans="1:47" ht="19.5" thickBot="1" x14ac:dyDescent="0.35">
      <c r="Z39" s="23">
        <f>SUM(Z3:Z38)</f>
        <v>80105550.618010014</v>
      </c>
      <c r="AA39" s="24">
        <f>SUM(AA3:AA38)</f>
        <v>4837908.3470806004</v>
      </c>
    </row>
    <row r="68" s="1" customFormat="1" x14ac:dyDescent="0.25"/>
    <row r="73" s="1" customFormat="1" x14ac:dyDescent="0.25"/>
  </sheetData>
  <mergeCells count="11">
    <mergeCell ref="N1:O1"/>
    <mergeCell ref="P1:Q1"/>
    <mergeCell ref="R1:S1"/>
    <mergeCell ref="T1:U1"/>
    <mergeCell ref="V1:W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7"/>
  <sheetViews>
    <sheetView workbookViewId="0">
      <selection activeCell="B3" sqref="B3:C6"/>
    </sheetView>
  </sheetViews>
  <sheetFormatPr defaultRowHeight="15" x14ac:dyDescent="0.25"/>
  <cols>
    <col min="5" max="5" width="13.28515625" bestFit="1" customWidth="1"/>
    <col min="6" max="6" width="10.5703125" bestFit="1" customWidth="1"/>
    <col min="7" max="7" width="11.5703125" bestFit="1" customWidth="1"/>
    <col min="8" max="8" width="10.5703125" bestFit="1" customWidth="1"/>
    <col min="9" max="9" width="11.5703125" bestFit="1" customWidth="1"/>
    <col min="10" max="10" width="10.5703125" bestFit="1" customWidth="1"/>
    <col min="11" max="11" width="11.5703125" bestFit="1" customWidth="1"/>
    <col min="12" max="12" width="10.5703125" bestFit="1" customWidth="1"/>
  </cols>
  <sheetData>
    <row r="2" spans="2:6" x14ac:dyDescent="0.25">
      <c r="B2" s="4" t="s">
        <v>8</v>
      </c>
      <c r="C2" s="5">
        <v>46228</v>
      </c>
      <c r="E2" s="4" t="s">
        <v>8</v>
      </c>
      <c r="F2" s="5">
        <v>46351</v>
      </c>
    </row>
    <row r="3" spans="2:6" x14ac:dyDescent="0.25">
      <c r="B3">
        <v>1236.82</v>
      </c>
      <c r="C3">
        <v>74.209199999999996</v>
      </c>
      <c r="E3">
        <v>18143.272799999995</v>
      </c>
      <c r="F3">
        <v>284244.60719999997</v>
      </c>
    </row>
    <row r="4" spans="2:6" x14ac:dyDescent="0.25">
      <c r="B4">
        <v>271974</v>
      </c>
      <c r="C4">
        <v>16318.439999999999</v>
      </c>
      <c r="E4">
        <v>574.67639999999994</v>
      </c>
      <c r="F4">
        <v>9003.2635999999984</v>
      </c>
    </row>
    <row r="5" spans="2:6" x14ac:dyDescent="0.25">
      <c r="B5">
        <v>35517.14</v>
      </c>
      <c r="C5">
        <v>2131.0283999999997</v>
      </c>
      <c r="E5">
        <v>2131.0283999999997</v>
      </c>
      <c r="F5">
        <v>33386.111599999997</v>
      </c>
    </row>
    <row r="6" spans="2:6" x14ac:dyDescent="0.25">
      <c r="B6">
        <v>11754.68</v>
      </c>
      <c r="C6">
        <v>705.2808</v>
      </c>
      <c r="E6">
        <v>540</v>
      </c>
      <c r="F6">
        <v>8460</v>
      </c>
    </row>
    <row r="7" spans="2:6" x14ac:dyDescent="0.25">
      <c r="B7" s="4" t="s">
        <v>8</v>
      </c>
      <c r="C7" s="5">
        <v>46259</v>
      </c>
      <c r="E7" s="4" t="s">
        <v>8</v>
      </c>
      <c r="F7" s="5">
        <v>46381</v>
      </c>
    </row>
    <row r="8" spans="2:6" x14ac:dyDescent="0.25">
      <c r="B8">
        <v>277626.13999999996</v>
      </c>
      <c r="C8">
        <v>16657.568399999996</v>
      </c>
      <c r="E8">
        <v>308982.98</v>
      </c>
      <c r="F8">
        <v>18538.978799999997</v>
      </c>
    </row>
    <row r="9" spans="2:6" x14ac:dyDescent="0.25">
      <c r="B9">
        <v>11980.77</v>
      </c>
      <c r="C9">
        <v>718.84619999999995</v>
      </c>
      <c r="E9">
        <v>12353.31</v>
      </c>
      <c r="F9">
        <v>741.19859999999994</v>
      </c>
    </row>
    <row r="10" spans="2:6" x14ac:dyDescent="0.25">
      <c r="B10">
        <v>35517.14</v>
      </c>
      <c r="C10">
        <v>2131.0283999999997</v>
      </c>
      <c r="E10">
        <v>35517.14</v>
      </c>
      <c r="F10">
        <v>2131.0283999999997</v>
      </c>
    </row>
    <row r="11" spans="2:6" x14ac:dyDescent="0.25">
      <c r="B11">
        <v>1236.82</v>
      </c>
      <c r="C11">
        <v>74.209199999999996</v>
      </c>
      <c r="E11">
        <v>1236.82</v>
      </c>
      <c r="F11">
        <v>74.209199999999996</v>
      </c>
    </row>
    <row r="12" spans="2:6" x14ac:dyDescent="0.25">
      <c r="B12" s="4" t="s">
        <v>8</v>
      </c>
      <c r="C12" s="5">
        <v>46290</v>
      </c>
      <c r="E12" s="4" t="s">
        <v>8</v>
      </c>
      <c r="F12" s="5">
        <v>46048</v>
      </c>
    </row>
    <row r="13" spans="2:6" x14ac:dyDescent="0.25">
      <c r="B13">
        <v>1237</v>
      </c>
      <c r="C13">
        <v>74.22</v>
      </c>
      <c r="E13">
        <v>316074.87999999995</v>
      </c>
      <c r="F13">
        <v>18964.492799999996</v>
      </c>
    </row>
    <row r="14" spans="2:6" x14ac:dyDescent="0.25">
      <c r="B14">
        <v>279183</v>
      </c>
      <c r="C14">
        <v>16750.98</v>
      </c>
      <c r="E14">
        <v>9590.93</v>
      </c>
      <c r="F14">
        <v>575.45579999999995</v>
      </c>
    </row>
    <row r="15" spans="2:6" x14ac:dyDescent="0.25">
      <c r="B15">
        <v>35517</v>
      </c>
      <c r="C15">
        <v>2131.02</v>
      </c>
      <c r="E15">
        <v>35517.14</v>
      </c>
      <c r="F15">
        <v>2131.0283999999997</v>
      </c>
    </row>
    <row r="16" spans="2:6" x14ac:dyDescent="0.25">
      <c r="B16">
        <v>12470</v>
      </c>
      <c r="C16">
        <v>748.19999999999993</v>
      </c>
    </row>
    <row r="17" spans="2:12" x14ac:dyDescent="0.25">
      <c r="B17" s="4" t="s">
        <v>8</v>
      </c>
      <c r="C17" s="5">
        <v>46320</v>
      </c>
    </row>
    <row r="18" spans="2:12" x14ac:dyDescent="0.25">
      <c r="B18">
        <v>284210</v>
      </c>
      <c r="C18">
        <v>17052.599999999999</v>
      </c>
    </row>
    <row r="19" spans="2:12" x14ac:dyDescent="0.25">
      <c r="B19">
        <v>35517</v>
      </c>
      <c r="C19">
        <v>2131.02</v>
      </c>
    </row>
    <row r="20" spans="2:12" x14ac:dyDescent="0.25">
      <c r="B20">
        <v>12278</v>
      </c>
      <c r="C20">
        <v>736.68</v>
      </c>
    </row>
    <row r="21" spans="2:12" x14ac:dyDescent="0.25">
      <c r="B21">
        <v>1237</v>
      </c>
      <c r="C21">
        <v>74.22</v>
      </c>
    </row>
    <row r="29" spans="2:12" x14ac:dyDescent="0.25">
      <c r="E29" s="6"/>
      <c r="F29" s="6"/>
      <c r="G29" s="6"/>
      <c r="H29" s="6"/>
      <c r="I29" s="6"/>
      <c r="J29" s="6"/>
      <c r="K29" s="6"/>
      <c r="L29" s="6"/>
    </row>
    <row r="30" spans="2:12" x14ac:dyDescent="0.25">
      <c r="E30" s="2"/>
      <c r="F30" s="2"/>
      <c r="G30" s="2"/>
      <c r="H30" s="2"/>
      <c r="I30" s="2"/>
      <c r="J30" s="2"/>
      <c r="K30" s="2"/>
      <c r="L30" s="2"/>
    </row>
    <row r="31" spans="2:12" x14ac:dyDescent="0.25">
      <c r="E31" s="2"/>
      <c r="F31" s="2"/>
      <c r="G31" s="2"/>
      <c r="H31" s="2"/>
      <c r="I31" s="2"/>
      <c r="J31" s="2"/>
      <c r="K31" s="2"/>
      <c r="L31" s="2"/>
    </row>
    <row r="32" spans="2:12" x14ac:dyDescent="0.25">
      <c r="E32" s="2"/>
      <c r="F32" s="2"/>
      <c r="G32" s="2"/>
      <c r="H32" s="2"/>
      <c r="I32" s="2"/>
      <c r="J32" s="2"/>
      <c r="K32" s="2"/>
      <c r="L32" s="2"/>
    </row>
    <row r="33" spans="2:12" x14ac:dyDescent="0.25">
      <c r="E33" s="2"/>
      <c r="F33" s="2"/>
      <c r="G33" s="2"/>
      <c r="H33" s="2"/>
      <c r="I33" s="2"/>
      <c r="J33" s="2"/>
      <c r="K33" s="2"/>
      <c r="L33" s="2"/>
    </row>
    <row r="34" spans="2:12" x14ac:dyDescent="0.25">
      <c r="E34" s="2"/>
      <c r="F34" s="2"/>
      <c r="G34" s="2"/>
      <c r="H34" s="2"/>
      <c r="I34" s="2"/>
      <c r="J34" s="2"/>
      <c r="K34" s="2"/>
      <c r="L34" s="2"/>
    </row>
    <row r="35" spans="2:12" x14ac:dyDescent="0.25">
      <c r="B35" s="1"/>
      <c r="E35" s="2"/>
      <c r="F35" s="2"/>
      <c r="G35" s="2"/>
      <c r="H35" s="2"/>
      <c r="I35" s="2"/>
      <c r="J35" s="2"/>
      <c r="K35" s="2"/>
      <c r="L35" s="2"/>
    </row>
    <row r="36" spans="2:12" x14ac:dyDescent="0.25">
      <c r="B36" s="1"/>
      <c r="E36" s="2"/>
      <c r="F36" s="2"/>
      <c r="G36" s="2"/>
      <c r="H36" s="2"/>
      <c r="I36" s="2"/>
      <c r="J36" s="2"/>
      <c r="K36" s="2"/>
      <c r="L36" s="2"/>
    </row>
    <row r="37" spans="2:12" x14ac:dyDescent="0.25">
      <c r="B37" s="1"/>
      <c r="E37" s="2"/>
      <c r="F37" s="2"/>
      <c r="G37" s="2"/>
      <c r="H37" s="2"/>
      <c r="I37" s="2"/>
      <c r="J37" s="2"/>
      <c r="K37" s="2"/>
      <c r="L37" s="2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Rizwan</dc:creator>
  <cp:lastModifiedBy>Rizwan</cp:lastModifiedBy>
  <dcterms:created xsi:type="dcterms:W3CDTF">2026-06-13T08:05:20Z</dcterms:created>
  <dcterms:modified xsi:type="dcterms:W3CDTF">2026-07-01T06:59:42Z</dcterms:modified>
</cp:coreProperties>
</file>